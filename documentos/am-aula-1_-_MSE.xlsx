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<sst xmlns="http://schemas.openxmlformats.org/spreadsheetml/2006/main" count="12" uniqueCount="10">
  <si>
    <t>Área (X)</t>
  </si>
  <si>
    <t>Area ao Quadrado (X2)</t>
  </si>
  <si>
    <t>Preço (Y)</t>
  </si>
  <si>
    <t>Área x Preço</t>
  </si>
  <si>
    <t>a</t>
  </si>
  <si>
    <t>b</t>
  </si>
  <si>
    <t>Previsão (a+bX)</t>
  </si>
  <si>
    <t>Erro (Preço - Previsão)</t>
  </si>
  <si>
    <t>Erro2</t>
  </si>
  <si>
    <t>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</si>
</sst>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2" numFmtId="164" xfId="0" applyAlignment="1" applyFont="1" applyNumberFormat="1">
      <alignment horizontal="center" readingOrder="0" vertical="top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right" readingOrder="0"/>
    </xf>
    <xf borderId="0" fillId="0" fontId="1" numFmtId="164" xfId="0" applyFont="1" applyNumberForma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9.0"/>
    <col customWidth="1" min="3" max="3" width="8.38"/>
    <col customWidth="1" min="4" max="4" width="11.25"/>
    <col customWidth="1" min="5" max="5" width="8.88"/>
    <col customWidth="1" min="6" max="6" width="9.75"/>
    <col customWidth="1" min="7" max="7" width="13.5"/>
    <col customWidth="1" min="8" max="8" width="19.0"/>
    <col customWidth="1" min="9" max="9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480.0</v>
      </c>
      <c r="B2" s="2">
        <f t="shared" ref="B2:B12" si="1">POWER(A2,2)</f>
        <v>230400</v>
      </c>
      <c r="C2" s="2">
        <v>98.0</v>
      </c>
      <c r="D2" s="2">
        <f t="shared" ref="D2:D12" si="2">A2*C2</f>
        <v>47040</v>
      </c>
      <c r="E2" s="3">
        <f t="shared" ref="E2:E12" si="3">$G$15</f>
        <v>119.2973957</v>
      </c>
      <c r="F2" s="3">
        <f t="shared" ref="F2:F12" si="4">$B$15</f>
        <v>0.09990610393</v>
      </c>
      <c r="G2" s="3">
        <f t="shared" ref="G2:G12" si="5">E2+(F2*A2)</f>
        <v>167.2523256</v>
      </c>
      <c r="H2" s="3">
        <f t="shared" ref="H2:H12" si="6">C2-G2</f>
        <v>-69.25232559</v>
      </c>
      <c r="I2" s="3">
        <f t="shared" ref="I2:I12" si="7">H2*H2</f>
        <v>4795.8846</v>
      </c>
    </row>
    <row r="3">
      <c r="A3" s="2">
        <v>510.0</v>
      </c>
      <c r="B3" s="2">
        <f t="shared" si="1"/>
        <v>260100</v>
      </c>
      <c r="C3" s="2">
        <v>110.0</v>
      </c>
      <c r="D3" s="2">
        <f t="shared" si="2"/>
        <v>56100</v>
      </c>
      <c r="E3" s="3">
        <f t="shared" si="3"/>
        <v>119.2973957</v>
      </c>
      <c r="F3" s="3">
        <f t="shared" si="4"/>
        <v>0.09990610393</v>
      </c>
      <c r="G3" s="3">
        <f t="shared" si="5"/>
        <v>170.2495087</v>
      </c>
      <c r="H3" s="3">
        <f t="shared" si="6"/>
        <v>-60.24950871</v>
      </c>
      <c r="I3" s="3">
        <f t="shared" si="7"/>
        <v>3630.0033</v>
      </c>
    </row>
    <row r="4">
      <c r="A4" s="2">
        <v>520.0</v>
      </c>
      <c r="B4" s="2">
        <f t="shared" si="1"/>
        <v>270400</v>
      </c>
      <c r="C4" s="2">
        <v>200.0</v>
      </c>
      <c r="D4" s="2">
        <f t="shared" si="2"/>
        <v>104000</v>
      </c>
      <c r="E4" s="3">
        <f t="shared" si="3"/>
        <v>119.2973957</v>
      </c>
      <c r="F4" s="3">
        <f t="shared" si="4"/>
        <v>0.09990610393</v>
      </c>
      <c r="G4" s="3">
        <f t="shared" si="5"/>
        <v>171.2485697</v>
      </c>
      <c r="H4" s="3">
        <f t="shared" si="6"/>
        <v>28.75143025</v>
      </c>
      <c r="I4" s="3">
        <f t="shared" si="7"/>
        <v>826.6447415</v>
      </c>
    </row>
    <row r="5">
      <c r="A5" s="2">
        <v>850.0</v>
      </c>
      <c r="B5" s="2">
        <f t="shared" si="1"/>
        <v>722500</v>
      </c>
      <c r="C5" s="2">
        <v>210.0</v>
      </c>
      <c r="D5" s="2">
        <f t="shared" si="2"/>
        <v>178500</v>
      </c>
      <c r="E5" s="3">
        <f t="shared" si="3"/>
        <v>119.2973957</v>
      </c>
      <c r="F5" s="3">
        <f t="shared" si="4"/>
        <v>0.09990610393</v>
      </c>
      <c r="G5" s="3">
        <f t="shared" si="5"/>
        <v>204.217584</v>
      </c>
      <c r="H5" s="3">
        <f t="shared" si="6"/>
        <v>5.782415953</v>
      </c>
      <c r="I5" s="3">
        <f t="shared" si="7"/>
        <v>33.43633425</v>
      </c>
    </row>
    <row r="6">
      <c r="A6" s="2">
        <v>960.0</v>
      </c>
      <c r="B6" s="2">
        <f t="shared" si="1"/>
        <v>921600</v>
      </c>
      <c r="C6" s="2">
        <v>280.0</v>
      </c>
      <c r="D6" s="2">
        <f t="shared" si="2"/>
        <v>268800</v>
      </c>
      <c r="E6" s="3">
        <f t="shared" si="3"/>
        <v>119.2973957</v>
      </c>
      <c r="F6" s="3">
        <f t="shared" si="4"/>
        <v>0.09990610393</v>
      </c>
      <c r="G6" s="3">
        <f t="shared" si="5"/>
        <v>215.2072555</v>
      </c>
      <c r="H6" s="3">
        <f t="shared" si="6"/>
        <v>64.79274452</v>
      </c>
      <c r="I6" s="3">
        <f t="shared" si="7"/>
        <v>4198.099742</v>
      </c>
    </row>
    <row r="7">
      <c r="A7" s="2">
        <v>1200.0</v>
      </c>
      <c r="B7" s="2">
        <f t="shared" si="1"/>
        <v>1440000</v>
      </c>
      <c r="C7" s="2">
        <v>265.0</v>
      </c>
      <c r="D7" s="2">
        <f t="shared" si="2"/>
        <v>318000</v>
      </c>
      <c r="E7" s="3">
        <f t="shared" si="3"/>
        <v>119.2973957</v>
      </c>
      <c r="F7" s="3">
        <f t="shared" si="4"/>
        <v>0.09990610393</v>
      </c>
      <c r="G7" s="3">
        <f t="shared" si="5"/>
        <v>239.1847204</v>
      </c>
      <c r="H7" s="3">
        <f t="shared" si="6"/>
        <v>25.81527958</v>
      </c>
      <c r="I7" s="3">
        <f t="shared" si="7"/>
        <v>666.4286596</v>
      </c>
    </row>
    <row r="8">
      <c r="A8" s="2">
        <v>1400.0</v>
      </c>
      <c r="B8" s="2">
        <f t="shared" si="1"/>
        <v>1960000</v>
      </c>
      <c r="C8" s="2">
        <v>300.0</v>
      </c>
      <c r="D8" s="2">
        <f t="shared" si="2"/>
        <v>420000</v>
      </c>
      <c r="E8" s="3">
        <f t="shared" si="3"/>
        <v>119.2973957</v>
      </c>
      <c r="F8" s="3">
        <f t="shared" si="4"/>
        <v>0.09990610393</v>
      </c>
      <c r="G8" s="3">
        <f t="shared" si="5"/>
        <v>259.1659412</v>
      </c>
      <c r="H8" s="3">
        <f t="shared" si="6"/>
        <v>40.83405879</v>
      </c>
      <c r="I8" s="3">
        <f t="shared" si="7"/>
        <v>1667.420357</v>
      </c>
    </row>
    <row r="9">
      <c r="A9" s="2">
        <v>1650.0</v>
      </c>
      <c r="B9" s="2">
        <f t="shared" si="1"/>
        <v>2722500</v>
      </c>
      <c r="C9" s="2">
        <v>287.0</v>
      </c>
      <c r="D9" s="2">
        <f t="shared" si="2"/>
        <v>473550</v>
      </c>
      <c r="E9" s="3">
        <f t="shared" si="3"/>
        <v>119.2973957</v>
      </c>
      <c r="F9" s="3">
        <f t="shared" si="4"/>
        <v>0.09990610393</v>
      </c>
      <c r="G9" s="3">
        <f t="shared" si="5"/>
        <v>284.1424672</v>
      </c>
      <c r="H9" s="3">
        <f t="shared" si="6"/>
        <v>2.857532806</v>
      </c>
      <c r="I9" s="3">
        <f t="shared" si="7"/>
        <v>8.165493739</v>
      </c>
    </row>
    <row r="10">
      <c r="A10" s="2">
        <v>1700.0</v>
      </c>
      <c r="B10" s="2">
        <f t="shared" si="1"/>
        <v>2890000</v>
      </c>
      <c r="C10" s="2">
        <v>325.0</v>
      </c>
      <c r="D10" s="2">
        <f t="shared" si="2"/>
        <v>552500</v>
      </c>
      <c r="E10" s="3">
        <f t="shared" si="3"/>
        <v>119.2973957</v>
      </c>
      <c r="F10" s="3">
        <f t="shared" si="4"/>
        <v>0.09990610393</v>
      </c>
      <c r="G10" s="3">
        <f t="shared" si="5"/>
        <v>289.1377724</v>
      </c>
      <c r="H10" s="3">
        <f t="shared" si="6"/>
        <v>35.86222761</v>
      </c>
      <c r="I10" s="3">
        <f t="shared" si="7"/>
        <v>1286.099369</v>
      </c>
    </row>
    <row r="11">
      <c r="A11" s="2">
        <v>1920.0</v>
      </c>
      <c r="B11" s="2">
        <f t="shared" si="1"/>
        <v>3686400</v>
      </c>
      <c r="C11" s="2">
        <v>300.0</v>
      </c>
      <c r="D11" s="2">
        <f t="shared" si="2"/>
        <v>576000</v>
      </c>
      <c r="E11" s="3">
        <f t="shared" si="3"/>
        <v>119.2973957</v>
      </c>
      <c r="F11" s="3">
        <f t="shared" si="4"/>
        <v>0.09990610393</v>
      </c>
      <c r="G11" s="3">
        <f t="shared" si="5"/>
        <v>311.1171153</v>
      </c>
      <c r="H11" s="3">
        <f t="shared" si="6"/>
        <v>-11.11711526</v>
      </c>
      <c r="I11" s="3">
        <f t="shared" si="7"/>
        <v>123.5902516</v>
      </c>
    </row>
    <row r="12">
      <c r="A12" s="2">
        <v>2350.0</v>
      </c>
      <c r="B12" s="2">
        <f t="shared" si="1"/>
        <v>5522500</v>
      </c>
      <c r="C12" s="2">
        <v>290.0</v>
      </c>
      <c r="D12" s="2">
        <f t="shared" si="2"/>
        <v>681500</v>
      </c>
      <c r="E12" s="3">
        <f t="shared" si="3"/>
        <v>119.2973957</v>
      </c>
      <c r="F12" s="3">
        <f t="shared" si="4"/>
        <v>0.09990610393</v>
      </c>
      <c r="G12" s="3">
        <f t="shared" si="5"/>
        <v>354.0767399</v>
      </c>
      <c r="H12" s="3">
        <f t="shared" si="6"/>
        <v>-64.07673995</v>
      </c>
      <c r="I12" s="3">
        <f t="shared" si="7"/>
        <v>4105.828602</v>
      </c>
    </row>
    <row r="13">
      <c r="A13" s="4">
        <f t="shared" ref="A13:D13" si="8">SUM(A2:A12)</f>
        <v>13540</v>
      </c>
      <c r="B13" s="4">
        <f t="shared" si="8"/>
        <v>20626400</v>
      </c>
      <c r="C13" s="4">
        <f t="shared" si="8"/>
        <v>2665</v>
      </c>
      <c r="D13" s="4">
        <f t="shared" si="8"/>
        <v>3675990</v>
      </c>
      <c r="E13" s="4"/>
      <c r="F13" s="4"/>
      <c r="G13" s="4"/>
      <c r="H13" s="4"/>
      <c r="I13" s="5">
        <f>SUM(I2:I12)</f>
        <v>21341.60145</v>
      </c>
    </row>
    <row r="15">
      <c r="A15" s="6" t="s">
        <v>5</v>
      </c>
      <c r="B15" s="7">
        <f>((11*D13)-(A13*C13))/((11*B13)-(A13*A13))</f>
        <v>0.09990610393</v>
      </c>
      <c r="F15" s="6" t="s">
        <v>4</v>
      </c>
      <c r="G15" s="8">
        <f>(C13-(B15*A13))/11</f>
        <v>119.2973957</v>
      </c>
      <c r="H15" s="6" t="s">
        <v>9</v>
      </c>
      <c r="I15" s="9">
        <f>I13/11</f>
        <v>1940.145586</v>
      </c>
    </row>
  </sheetData>
  <drawing r:id="rId1"/>
</worksheet>
</file>